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 Mauricio\Desktop\FERREINOX VENTAS\Resumen-Ventas-Gerenciales\"/>
    </mc:Choice>
  </mc:AlternateContent>
  <xr:revisionPtr revIDLastSave="0" documentId="13_ncr:1_{63368E48-BDB7-444E-B114-8089BFE38413}" xr6:coauthVersionLast="47" xr6:coauthVersionMax="47" xr10:uidLastSave="{00000000-0000-0000-0000-000000000000}"/>
  <bookViews>
    <workbookView xWindow="-108" yWindow="-108" windowWidth="23256" windowHeight="12456" xr2:uid="{63AEA62F-EC17-43D5-AF0F-9EF4AE21A00F}"/>
  </bookViews>
  <sheets>
    <sheet name="DETALLE DE %CREC" sheetId="2" r:id="rId1"/>
    <sheet name="Hoja1" sheetId="1" r:id="rId2"/>
  </sheets>
  <definedNames>
    <definedName name="_xlnm._FilterDatabase" localSheetId="0" hidden="1">'DETALLE DE %CREC'!$A$1:$D$6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2" l="1"/>
  <c r="M8" i="2"/>
  <c r="D8" i="2"/>
  <c r="P7" i="2"/>
  <c r="M7" i="2"/>
  <c r="D7" i="2"/>
  <c r="P6" i="2"/>
  <c r="M6" i="2"/>
  <c r="D6" i="2"/>
  <c r="P5" i="2"/>
  <c r="M5" i="2"/>
  <c r="D5" i="2"/>
  <c r="P4" i="2"/>
  <c r="M4" i="2"/>
  <c r="D4" i="2"/>
  <c r="P3" i="2"/>
  <c r="M3" i="2"/>
  <c r="D3" i="2"/>
  <c r="P2" i="2"/>
  <c r="M2" i="2"/>
  <c r="D2" i="2"/>
</calcChain>
</file>

<file path=xl/sharedStrings.xml><?xml version="1.0" encoding="utf-8"?>
<sst xmlns="http://schemas.openxmlformats.org/spreadsheetml/2006/main" count="25" uniqueCount="24">
  <si>
    <t>Vendedores</t>
  </si>
  <si>
    <t xml:space="preserve"> Importe 2025</t>
  </si>
  <si>
    <t xml:space="preserve"> Importe 2024</t>
  </si>
  <si>
    <t>%Crec</t>
  </si>
  <si>
    <t>TOTAL</t>
  </si>
  <si>
    <t>CLIENTE NO IMPACTO</t>
  </si>
  <si>
    <t>TOTAL CLIENTE</t>
  </si>
  <si>
    <t xml:space="preserve">PEREZ SANTA GUSTAVO ADOLFO </t>
  </si>
  <si>
    <t>LEDUYN MELGAREJO ARIAS</t>
  </si>
  <si>
    <t>JULIAN MAURICIO ORTIZ GOMEZ</t>
  </si>
  <si>
    <t>CARLOS ALBERTO CASTRILLON LOPEZ</t>
  </si>
  <si>
    <t>HUGO NELSON ZAPATA RAYO</t>
  </si>
  <si>
    <t>JERSON ATEHORTUA OLARTE</t>
  </si>
  <si>
    <t>JOSE AURELIO MARTINEZ ROJAS</t>
  </si>
  <si>
    <t>VALOR_DESCODIFICADOS</t>
  </si>
  <si>
    <t>CLIENTES_DESCODIFICADO</t>
  </si>
  <si>
    <t>CLIENTES_NUEVO</t>
  </si>
  <si>
    <t>VALOR_NUEVOS</t>
  </si>
  <si>
    <t>CLIENTES_REACTIVADO</t>
  </si>
  <si>
    <t>VALOR_REACTIVADO</t>
  </si>
  <si>
    <t>VALOR_CLIENTE_DECRECE</t>
  </si>
  <si>
    <t>VALOR_CLIENTES_CRECEN</t>
  </si>
  <si>
    <t>VARIACION_CLIENTES_#CREC</t>
  </si>
  <si>
    <t>CLIENTE_#DECREC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</si>
</sst>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164" fontId="0" fillId="2" borderId="1" xfId="0" applyNumberFormat="1" applyFill="1" applyBorder="1"/>
    <xf numFmtId="9" fontId="0" fillId="2" borderId="1" xfId="1" applyFont="1" applyFill="1" applyBorder="1"/>
    <xf numFmtId="1" fontId="0" fillId="2" borderId="1" xfId="1" applyNumberFormat="1" applyFont="1" applyFill="1" applyBorder="1"/>
    <xf numFmtId="164" fontId="0" fillId="2" borderId="1" xfId="1" applyNumberFormat="1" applyFont="1" applyFill="1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3" fontId="0" fillId="0" borderId="1" xfId="0" applyNumberFormat="1" applyBorder="1"/>
    <xf numFmtId="1" fontId="0" fillId="0" borderId="1" xfId="0" applyNumberFormat="1" applyBorder="1"/>
    <xf numFmtId="0" fontId="0" fillId="2" borderId="1" xfId="1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63E6-1D09-4EB4-8232-A18C2DC2CE08}">
  <dimension ref="A1:R13"/>
  <sheetViews>
    <sheetView showGridLines="0" tabSelected="1" workbookViewId="0">
      <selection activeCell="A8" sqref="A8"/>
    </sheetView>
  </sheetViews>
  <sheetFormatPr baseColWidth="10" defaultColWidth="30.33203125" defaultRowHeight="14.4" x14ac:dyDescent="0.3"/>
  <cols>
    <col min="2" max="3" width="30.33203125" style="11"/>
  </cols>
  <sheetData>
    <row r="1" spans="1:18" x14ac:dyDescent="0.3">
      <c r="A1" s="1" t="s">
        <v>0</v>
      </c>
      <c r="B1" s="2" t="s">
        <v>1</v>
      </c>
      <c r="C1" s="2" t="s">
        <v>2</v>
      </c>
      <c r="D1" s="1" t="s">
        <v>3</v>
      </c>
      <c r="E1" s="3" t="s">
        <v>15</v>
      </c>
      <c r="F1" s="1" t="s">
        <v>14</v>
      </c>
      <c r="G1" s="3" t="s">
        <v>16</v>
      </c>
      <c r="H1" s="1" t="s">
        <v>17</v>
      </c>
      <c r="I1" s="1" t="s">
        <v>18</v>
      </c>
      <c r="J1" s="1" t="s">
        <v>19</v>
      </c>
      <c r="K1" s="3" t="s">
        <v>22</v>
      </c>
      <c r="L1" s="1" t="s">
        <v>21</v>
      </c>
      <c r="M1" s="1" t="s">
        <v>4</v>
      </c>
      <c r="N1" s="3" t="s">
        <v>23</v>
      </c>
      <c r="O1" s="1" t="s">
        <v>20</v>
      </c>
      <c r="P1" s="1" t="s">
        <v>4</v>
      </c>
      <c r="Q1" s="3" t="s">
        <v>5</v>
      </c>
      <c r="R1" s="3" t="s">
        <v>6</v>
      </c>
    </row>
    <row r="2" spans="1:18" x14ac:dyDescent="0.3">
      <c r="A2" s="4" t="s">
        <v>7</v>
      </c>
      <c r="B2" s="5">
        <v>1071752732.2458441</v>
      </c>
      <c r="C2" s="5">
        <v>722447066.0806464</v>
      </c>
      <c r="D2" s="6">
        <f t="shared" ref="D2:D6" si="0">(B2-C2)/C2</f>
        <v>0.48350347390877896</v>
      </c>
      <c r="E2" s="7">
        <v>9</v>
      </c>
      <c r="F2" s="8">
        <v>28676473.424957395</v>
      </c>
      <c r="G2" s="9">
        <v>45</v>
      </c>
      <c r="H2" s="10">
        <v>276968883.79063451</v>
      </c>
      <c r="I2" s="9">
        <v>3</v>
      </c>
      <c r="J2" s="10">
        <v>24537563.91890572</v>
      </c>
      <c r="K2" s="9">
        <v>26</v>
      </c>
      <c r="L2" s="10">
        <v>201314790</v>
      </c>
      <c r="M2" s="10">
        <f>H2+J2+L2</f>
        <v>502821237.70954025</v>
      </c>
      <c r="N2" s="9">
        <v>12</v>
      </c>
      <c r="O2" s="10">
        <v>124839098</v>
      </c>
      <c r="P2" s="10">
        <f>H2+J2+L2-O2-F2</f>
        <v>349305666.28458285</v>
      </c>
      <c r="Q2" s="9">
        <v>1</v>
      </c>
      <c r="R2" s="9">
        <v>87</v>
      </c>
    </row>
    <row r="3" spans="1:18" x14ac:dyDescent="0.3">
      <c r="A3" s="4" t="s">
        <v>8</v>
      </c>
      <c r="B3" s="5">
        <v>1574862189.7271099</v>
      </c>
      <c r="C3" s="5">
        <v>1302400689.8146079</v>
      </c>
      <c r="D3" s="6">
        <f t="shared" si="0"/>
        <v>0.2091994437988865</v>
      </c>
      <c r="E3" s="7">
        <v>16</v>
      </c>
      <c r="F3" s="8">
        <v>41906187.537635513</v>
      </c>
      <c r="G3" s="9">
        <v>15</v>
      </c>
      <c r="H3" s="10">
        <v>78354694.994100854</v>
      </c>
      <c r="I3" s="9">
        <v>2</v>
      </c>
      <c r="J3" s="10">
        <v>1858535.8151260496</v>
      </c>
      <c r="K3" s="12">
        <v>31</v>
      </c>
      <c r="L3" s="10">
        <v>333090036</v>
      </c>
      <c r="M3" s="10">
        <f>H3+J3+L3</f>
        <v>413303266.80922687</v>
      </c>
      <c r="N3" s="9">
        <v>17</v>
      </c>
      <c r="O3" s="10">
        <v>108446408</v>
      </c>
      <c r="P3" s="10">
        <f>H3+J3+L3-O3-F3</f>
        <v>262950671.27159137</v>
      </c>
      <c r="Q3" s="9">
        <v>5</v>
      </c>
      <c r="R3" s="9">
        <v>70</v>
      </c>
    </row>
    <row r="4" spans="1:18" x14ac:dyDescent="0.3">
      <c r="A4" s="4" t="s">
        <v>9</v>
      </c>
      <c r="B4" s="5">
        <v>3256673950.8591776</v>
      </c>
      <c r="C4" s="5">
        <v>2729874211.8952804</v>
      </c>
      <c r="D4" s="6">
        <f t="shared" si="0"/>
        <v>0.19297582894786713</v>
      </c>
      <c r="E4" s="7">
        <v>14</v>
      </c>
      <c r="F4" s="8">
        <v>74577960.143959373</v>
      </c>
      <c r="G4" s="9">
        <v>9</v>
      </c>
      <c r="H4" s="10">
        <v>124499784</v>
      </c>
      <c r="I4" s="9">
        <v>3</v>
      </c>
      <c r="J4" s="10">
        <v>41822097</v>
      </c>
      <c r="K4" s="9">
        <v>50</v>
      </c>
      <c r="L4" s="10">
        <v>648956073</v>
      </c>
      <c r="M4" s="10">
        <f>H4+J4+L4</f>
        <v>815277954</v>
      </c>
      <c r="N4" s="9">
        <v>27</v>
      </c>
      <c r="O4" s="10">
        <v>267192055</v>
      </c>
      <c r="P4" s="10">
        <f>H4+J4+L4-O4-F4</f>
        <v>473507938.8560406</v>
      </c>
      <c r="Q4" s="9">
        <v>0</v>
      </c>
      <c r="R4" s="9">
        <v>89</v>
      </c>
    </row>
    <row r="5" spans="1:18" x14ac:dyDescent="0.3">
      <c r="A5" s="4" t="s">
        <v>10</v>
      </c>
      <c r="B5" s="5">
        <v>1355071915.1694937</v>
      </c>
      <c r="C5" s="5">
        <v>1171077935.5543418</v>
      </c>
      <c r="D5" s="6">
        <f t="shared" si="0"/>
        <v>0.15711505957804289</v>
      </c>
      <c r="E5" s="7">
        <v>11</v>
      </c>
      <c r="F5" s="8">
        <v>24109122.387950893</v>
      </c>
      <c r="G5" s="9">
        <v>10</v>
      </c>
      <c r="H5" s="10">
        <v>19244004.676999997</v>
      </c>
      <c r="I5" s="9">
        <v>13</v>
      </c>
      <c r="J5" s="10">
        <v>125171866.17547899</v>
      </c>
      <c r="K5" s="9">
        <v>49</v>
      </c>
      <c r="L5" s="10">
        <v>234175633</v>
      </c>
      <c r="M5" s="10">
        <f>H5+J5+L5</f>
        <v>378591503.85247898</v>
      </c>
      <c r="N5" s="9">
        <v>24</v>
      </c>
      <c r="O5" s="10">
        <v>145960912</v>
      </c>
      <c r="P5" s="10">
        <f>H5+J5+L5-O5-F5</f>
        <v>208521469.46452808</v>
      </c>
      <c r="Q5" s="9">
        <v>0</v>
      </c>
      <c r="R5" s="13">
        <v>96</v>
      </c>
    </row>
    <row r="6" spans="1:18" x14ac:dyDescent="0.3">
      <c r="A6" s="4" t="s">
        <v>11</v>
      </c>
      <c r="B6" s="5">
        <v>2881327407.6060205</v>
      </c>
      <c r="C6" s="5">
        <v>2768919421.0699687</v>
      </c>
      <c r="D6" s="6">
        <f t="shared" si="0"/>
        <v>4.0596337213964481E-2</v>
      </c>
      <c r="E6" s="7">
        <v>17</v>
      </c>
      <c r="F6" s="8">
        <v>219301911.42386591</v>
      </c>
      <c r="G6" s="9">
        <v>3</v>
      </c>
      <c r="H6" s="10">
        <v>63616450.306388602</v>
      </c>
      <c r="I6" s="9">
        <v>4</v>
      </c>
      <c r="J6" s="10">
        <v>11513401.354621848</v>
      </c>
      <c r="K6" s="9">
        <v>34</v>
      </c>
      <c r="L6" s="10">
        <v>546685069</v>
      </c>
      <c r="M6" s="10">
        <f>H6+J6+L6</f>
        <v>621814920.6610105</v>
      </c>
      <c r="N6" s="9">
        <v>26</v>
      </c>
      <c r="O6" s="10">
        <v>290105023</v>
      </c>
      <c r="P6" s="10">
        <f>H6+J6+L6-O6-F6</f>
        <v>112407986.23714459</v>
      </c>
      <c r="Q6" s="9">
        <v>0</v>
      </c>
      <c r="R6" s="9">
        <v>67</v>
      </c>
    </row>
    <row r="7" spans="1:18" x14ac:dyDescent="0.3">
      <c r="A7" s="9" t="s">
        <v>12</v>
      </c>
      <c r="B7" s="10">
        <v>307998520.8909269</v>
      </c>
      <c r="C7" s="10">
        <v>139596348.79615462</v>
      </c>
      <c r="D7" s="6">
        <f>(B7-C7)/C7</f>
        <v>1.2063508361574795</v>
      </c>
      <c r="E7" s="14">
        <v>0</v>
      </c>
      <c r="F7" s="6"/>
      <c r="G7" s="9">
        <v>8</v>
      </c>
      <c r="H7" s="10">
        <v>28036330</v>
      </c>
      <c r="I7" s="9">
        <v>8</v>
      </c>
      <c r="J7" s="10">
        <v>60832759</v>
      </c>
      <c r="K7" s="9">
        <v>16</v>
      </c>
      <c r="L7" s="10">
        <v>102003338</v>
      </c>
      <c r="M7" s="10">
        <f>H7+J7+L7</f>
        <v>190872427</v>
      </c>
      <c r="N7" s="9">
        <v>9</v>
      </c>
      <c r="O7" s="10">
        <v>22470255</v>
      </c>
      <c r="P7" s="10">
        <f>H7+J7+L7-O7</f>
        <v>168402172</v>
      </c>
      <c r="Q7" s="9">
        <v>2</v>
      </c>
      <c r="R7" s="9">
        <v>43</v>
      </c>
    </row>
    <row r="8" spans="1:18" x14ac:dyDescent="0.3">
      <c r="A8" s="9" t="s">
        <v>13</v>
      </c>
      <c r="B8" s="10">
        <v>192136726.11487398</v>
      </c>
      <c r="C8" s="10">
        <v>148938506.61265385</v>
      </c>
      <c r="D8" s="6">
        <f>(B8-C8)/C8</f>
        <v>0.290040638144481</v>
      </c>
      <c r="E8" s="14">
        <v>0</v>
      </c>
      <c r="F8" s="6"/>
      <c r="G8" s="9">
        <v>6</v>
      </c>
      <c r="H8" s="10">
        <v>14177940</v>
      </c>
      <c r="I8" s="9">
        <v>3</v>
      </c>
      <c r="J8" s="10">
        <v>11931143</v>
      </c>
      <c r="K8" s="9">
        <v>11</v>
      </c>
      <c r="L8" s="10">
        <v>69693687</v>
      </c>
      <c r="M8" s="10">
        <f>H8+J8+L8</f>
        <v>95802770</v>
      </c>
      <c r="N8" s="9">
        <v>9</v>
      </c>
      <c r="O8" s="10">
        <v>52604350</v>
      </c>
      <c r="P8" s="10">
        <f>H8+J8+L8-O8</f>
        <v>43198420</v>
      </c>
      <c r="Q8" s="9">
        <v>0</v>
      </c>
      <c r="R8" s="9">
        <v>29</v>
      </c>
    </row>
    <row r="10" spans="1:18" x14ac:dyDescent="0.3">
      <c r="P10" s="11"/>
    </row>
    <row r="13" spans="1:18" x14ac:dyDescent="0.3">
      <c r="O13" s="11"/>
    </row>
  </sheetData>
  <autoFilter ref="A1:D6" xr:uid="{00000000-0001-0000-0200-000000000000}">
    <sortState xmlns:xlrd2="http://schemas.microsoft.com/office/spreadsheetml/2017/richdata2" ref="A2:D6">
      <sortCondition descending="1" ref="D1:D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77D0-0713-47DA-94CE-6F4791A84EC8}">
  <dimension ref="A1"/>
  <sheetViews>
    <sheetView workbookViewId="0">
      <selection activeCell="A2" sqref="A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%CREC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Ferreinox Ltda</dc:creator>
  <cp:lastModifiedBy>Ferreinox Ltda</cp:lastModifiedBy>
  <dcterms:created xsi:type="dcterms:W3CDTF">2026-01-26T15:21:14Z</dcterms:created>
  <dcterms:modified xsi:type="dcterms:W3CDTF">2026-02-09T13:14:21Z</dcterms:modified>
</cp:coreProperties>
</file>